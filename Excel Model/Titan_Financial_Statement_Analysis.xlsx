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Financial Statement Analysis\Excel Model\"/>
    </mc:Choice>
  </mc:AlternateContent>
  <xr:revisionPtr revIDLastSave="0" documentId="8_{80858525-2583-4D57-B845-4E11E92BB940}" xr6:coauthVersionLast="47" xr6:coauthVersionMax="47" xr10:uidLastSave="{00000000-0000-0000-0000-000000000000}"/>
  <bookViews>
    <workbookView xWindow="-110" yWindow="-110" windowWidth="19420" windowHeight="10300" xr2:uid="{7C7A12CD-9B52-4608-AAA1-4523C45BD61E}"/>
  </bookViews>
  <sheets>
    <sheet name="Income Statement" sheetId="1" r:id="rId1"/>
    <sheet name="Balance Sheet" sheetId="2" r:id="rId2"/>
    <sheet name="Cash Flow" sheetId="3" r:id="rId3"/>
    <sheet name="Ratios" sheetId="4" r:id="rId4"/>
    <sheet name="Charts" sheetId="5" r:id="rId5"/>
    <sheet name="Insigh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4" l="1"/>
  <c r="E7" i="4"/>
  <c r="F7" i="4"/>
  <c r="C7" i="4"/>
  <c r="D6" i="4"/>
  <c r="E6" i="4"/>
  <c r="F6" i="4"/>
  <c r="C6" i="4"/>
  <c r="D5" i="4"/>
  <c r="E5" i="4"/>
  <c r="F5" i="4"/>
  <c r="C5" i="4"/>
  <c r="D4" i="4"/>
  <c r="E4" i="4"/>
  <c r="F4" i="4"/>
  <c r="C4" i="4"/>
  <c r="D3" i="4"/>
  <c r="E3" i="4"/>
  <c r="F3" i="4"/>
  <c r="C3" i="4"/>
  <c r="D2" i="4"/>
  <c r="E2" i="4"/>
  <c r="F2" i="4"/>
  <c r="C2" i="4"/>
  <c r="B14" i="2"/>
  <c r="B13" i="2"/>
  <c r="B10" i="2"/>
  <c r="B5" i="2"/>
  <c r="C14" i="2"/>
  <c r="C13" i="2"/>
  <c r="C10" i="2"/>
  <c r="C5" i="2"/>
  <c r="D14" i="2"/>
  <c r="D13" i="2"/>
  <c r="D10" i="2"/>
  <c r="D5" i="2"/>
  <c r="F14" i="2"/>
  <c r="E14" i="2"/>
  <c r="F13" i="2"/>
  <c r="E13" i="2"/>
  <c r="F10" i="2"/>
  <c r="E10" i="2"/>
  <c r="F5" i="2"/>
  <c r="E5" i="2"/>
  <c r="B17" i="1"/>
  <c r="B13" i="1"/>
  <c r="C17" i="1"/>
  <c r="C13" i="1"/>
  <c r="D17" i="1"/>
  <c r="D13" i="1"/>
  <c r="F17" i="1"/>
  <c r="E17" i="1"/>
  <c r="F13" i="1"/>
  <c r="E13" i="1"/>
</calcChain>
</file>

<file path=xl/sharedStrings.xml><?xml version="1.0" encoding="utf-8"?>
<sst xmlns="http://schemas.openxmlformats.org/spreadsheetml/2006/main" count="80" uniqueCount="63">
  <si>
    <t>Line Item</t>
  </si>
  <si>
    <t>FY 2021</t>
  </si>
  <si>
    <t>FY 2022</t>
  </si>
  <si>
    <t>FY 2023</t>
  </si>
  <si>
    <t>FY 2024</t>
  </si>
  <si>
    <t>FY 2025</t>
  </si>
  <si>
    <t>Revenue from Operations</t>
  </si>
  <si>
    <t>Other Income</t>
  </si>
  <si>
    <t>Total Income</t>
  </si>
  <si>
    <t>Cost of Materials Consumed</t>
  </si>
  <si>
    <t>Purchases of Stock-in-Trade</t>
  </si>
  <si>
    <t>Changes in Inventories</t>
  </si>
  <si>
    <t>Employee Benefits Expense</t>
  </si>
  <si>
    <t>Finance Costs</t>
  </si>
  <si>
    <t>Depreciation &amp; Amortization</t>
  </si>
  <si>
    <t>Other Expenses</t>
  </si>
  <si>
    <t>Total Expenses</t>
  </si>
  <si>
    <t>Profit Before Tax</t>
  </si>
  <si>
    <t>Tax Expense</t>
  </si>
  <si>
    <t>Profit After Tax</t>
  </si>
  <si>
    <t>ASSETS</t>
  </si>
  <si>
    <t>Non-Current Assets</t>
  </si>
  <si>
    <t>Current Assets</t>
  </si>
  <si>
    <t>Total Assets</t>
  </si>
  <si>
    <t>EQUITY &amp; LIABILITIES</t>
  </si>
  <si>
    <t>Equity Share Capital</t>
  </si>
  <si>
    <t>Other Equity</t>
  </si>
  <si>
    <t>Total Equity</t>
  </si>
  <si>
    <t>Non-Current Liabilities</t>
  </si>
  <si>
    <t xml:space="preserve">Current Liabilities </t>
  </si>
  <si>
    <t>Total Liabilities</t>
  </si>
  <si>
    <t>Total Equity &amp; Liabilities</t>
  </si>
  <si>
    <t>Cash Flow from Operating Activities</t>
  </si>
  <si>
    <t>Cash Flow from Investing Activities</t>
  </si>
  <si>
    <t>Cash Flow from Financing Activities</t>
  </si>
  <si>
    <t>Net Increase/Decrease in Cash</t>
  </si>
  <si>
    <t>Opening Cash &amp; Cash Equivalents</t>
  </si>
  <si>
    <t>Closing Cash &amp; Cash Equivalents</t>
  </si>
  <si>
    <t>Ratio</t>
  </si>
  <si>
    <t>Revenue Growth(%)</t>
  </si>
  <si>
    <t>Net Profit Margin(%)</t>
  </si>
  <si>
    <t>Return on Equity</t>
  </si>
  <si>
    <t>Return on Assets</t>
  </si>
  <si>
    <t>Current Ratio</t>
  </si>
  <si>
    <t>Debt-to-Equity Ratio</t>
  </si>
  <si>
    <t>Revenue Trend</t>
  </si>
  <si>
    <t>Profitability</t>
  </si>
  <si>
    <t>Expenses</t>
  </si>
  <si>
    <t>Assets</t>
  </si>
  <si>
    <t>Liabilities</t>
  </si>
  <si>
    <t>Cash Flow</t>
  </si>
  <si>
    <t>ROE &amp; ROA</t>
  </si>
  <si>
    <t>Overall Assessment</t>
  </si>
  <si>
    <t>Total expenses increased alongside revenue, but revenue grew at a faster pace, helping maintain healthy profit margins.</t>
  </si>
  <si>
    <t>Liabilities increased over the years, but shareholder equity also grew, indicating balanced financing rather than excessive debt dependence.</t>
  </si>
  <si>
    <t>Operating cash flow remained positive in most years, while investing cash flow was largely negative due to continued investments in business growth.</t>
  </si>
  <si>
    <t>Return on Equity and Return on Assets improved substantially compared to FY2021, indicating more efficient utilization of shareholder funds and company assets.</t>
  </si>
  <si>
    <t>Titan demonstrated strong revenue growth, expanding assets, improving profitability, and consistent long-term business performance. Although FY2025 showed slightly lower profits and operating cash flow, the company's overall financial position remains strong.</t>
  </si>
  <si>
    <t>Key Financial Insights (FY2021–FY2025)</t>
  </si>
  <si>
    <r>
      <t xml:space="preserve">Revenue increased from </t>
    </r>
    <r>
      <rPr>
        <b/>
        <sz val="11"/>
        <color theme="1"/>
        <rFont val="Aptos Narrow"/>
        <family val="2"/>
        <scheme val="minor"/>
      </rPr>
      <t>₹20,602</t>
    </r>
    <r>
      <rPr>
        <sz val="11"/>
        <color theme="1"/>
        <rFont val="Aptos Narrow"/>
        <family val="2"/>
        <scheme val="minor"/>
      </rPr>
      <t xml:space="preserve"> crore in FY2021 to </t>
    </r>
    <r>
      <rPr>
        <b/>
        <sz val="11"/>
        <color theme="1"/>
        <rFont val="Aptos Narrow"/>
        <family val="2"/>
        <scheme val="minor"/>
      </rPr>
      <t>₹54,842</t>
    </r>
    <r>
      <rPr>
        <sz val="11"/>
        <color theme="1"/>
        <rFont val="Aptos Narrow"/>
        <family val="2"/>
        <scheme val="minor"/>
      </rPr>
      <t xml:space="preserve"> crore in FY2025, representing strong and consistent business growth.</t>
    </r>
  </si>
  <si>
    <r>
      <t xml:space="preserve">Profit after tax increased significantly from </t>
    </r>
    <r>
      <rPr>
        <b/>
        <sz val="11"/>
        <color theme="1"/>
        <rFont val="Aptos Narrow"/>
        <family val="2"/>
        <scheme val="minor"/>
      </rPr>
      <t>₹877</t>
    </r>
    <r>
      <rPr>
        <sz val="11"/>
        <color theme="1"/>
        <rFont val="Aptos Narrow"/>
        <family val="2"/>
        <scheme val="minor"/>
      </rPr>
      <t xml:space="preserve"> crore to</t>
    </r>
    <r>
      <rPr>
        <b/>
        <sz val="11"/>
        <color theme="1"/>
        <rFont val="Aptos Narrow"/>
        <family val="2"/>
        <scheme val="minor"/>
      </rPr>
      <t xml:space="preserve"> ₹3,335</t>
    </r>
    <r>
      <rPr>
        <sz val="11"/>
        <color theme="1"/>
        <rFont val="Aptos Narrow"/>
        <family val="2"/>
        <scheme val="minor"/>
      </rPr>
      <t xml:space="preserve"> crore over five years, indicating improved profitability despite a slight decline in FY2025.</t>
    </r>
  </si>
  <si>
    <r>
      <t xml:space="preserve">Total assets increased steadily from </t>
    </r>
    <r>
      <rPr>
        <b/>
        <sz val="11"/>
        <color theme="1"/>
        <rFont val="Aptos Narrow"/>
        <family val="2"/>
        <scheme val="minor"/>
      </rPr>
      <t>₹15,860</t>
    </r>
    <r>
      <rPr>
        <sz val="11"/>
        <color theme="1"/>
        <rFont val="Aptos Narrow"/>
        <family val="2"/>
        <scheme val="minor"/>
      </rPr>
      <t xml:space="preserve"> crore to</t>
    </r>
    <r>
      <rPr>
        <b/>
        <sz val="11"/>
        <color theme="1"/>
        <rFont val="Aptos Narrow"/>
        <family val="2"/>
        <scheme val="minor"/>
      </rPr>
      <t xml:space="preserve"> ₹41,075</t>
    </r>
    <r>
      <rPr>
        <sz val="11"/>
        <color theme="1"/>
        <rFont val="Aptos Narrow"/>
        <family val="2"/>
        <scheme val="minor"/>
      </rPr>
      <t xml:space="preserve"> crore, reflecting continuous expansion of the company's operations.</t>
    </r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</si>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</sst>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0" fillId="0" borderId="0" xfId="0" applyNumberFormat="1"/>
    <xf numFmtId="0" fontId="3" fillId="2" borderId="0" xfId="0" applyFont="1" applyFill="1"/>
    <xf numFmtId="0" fontId="3" fillId="0" borderId="0" xfId="0" applyFont="1" applyFill="1"/>
    <xf numFmtId="3" fontId="3" fillId="2" borderId="0" xfId="0" applyNumberFormat="1" applyFont="1" applyFill="1" applyAlignment="1">
      <alignment horizontal="center"/>
    </xf>
    <xf numFmtId="3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10" fontId="0" fillId="0" borderId="0" xfId="1" applyNumberFormat="1" applyFont="1"/>
    <xf numFmtId="2" fontId="0" fillId="0" borderId="0" xfId="1" applyNumberFormat="1" applyFont="1"/>
    <xf numFmtId="0" fontId="0" fillId="0" borderId="0" xfId="0" applyAlignment="1">
      <alignment wrapText="1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Trend (FY2021–FY2025)</a:t>
            </a:r>
            <a:endParaRPr lang="en-IN"/>
          </a:p>
        </c:rich>
      </c:tx>
      <c:layout>
        <c:manualLayout>
          <c:xMode val="edge"/>
          <c:yMode val="edge"/>
          <c:x val="0.2590901137357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 Statement'!$B$1:$F$1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'Income Statement'!$B$2:$F$2</c:f>
              <c:numCache>
                <c:formatCode>#,##0_ ;\-#,##0\ </c:formatCode>
                <c:ptCount val="5"/>
                <c:pt idx="0">
                  <c:v>20602</c:v>
                </c:pt>
                <c:pt idx="1">
                  <c:v>27210</c:v>
                </c:pt>
                <c:pt idx="2">
                  <c:v>38270</c:v>
                </c:pt>
                <c:pt idx="3">
                  <c:v>47114</c:v>
                </c:pt>
                <c:pt idx="4">
                  <c:v>54842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C6-44AC-88A2-799D8C421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786575"/>
        <c:axId val="1152470111"/>
      </c:lineChart>
      <c:catAx>
        <c:axId val="12127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70111"/>
        <c:crosses val="autoZero"/>
        <c:auto val="1"/>
        <c:lblAlgn val="ctr"/>
        <c:lblOffset val="100"/>
        <c:noMultiLvlLbl val="0"/>
      </c:catAx>
      <c:valAx>
        <c:axId val="115247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78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After Tax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'Income Statement'!$B$1:$F$1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'Income Statement'!$B$17:$F$17</c:f>
              <c:numCache>
                <c:formatCode>#,##0_ ;\-#,##0\ </c:formatCode>
                <c:ptCount val="5"/>
                <c:pt idx="0">
                  <c:v>877</c:v>
                </c:pt>
                <c:pt idx="1">
                  <c:v>2180</c:v>
                </c:pt>
                <c:pt idx="2">
                  <c:v>3333</c:v>
                </c:pt>
                <c:pt idx="3">
                  <c:v>3544</c:v>
                </c:pt>
                <c:pt idx="4">
                  <c:v>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0-47D3-BDFF-3425089EF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778431"/>
        <c:axId val="1453762591"/>
      </c:lineChart>
      <c:catAx>
        <c:axId val="145377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62591"/>
        <c:crosses val="autoZero"/>
        <c:auto val="1"/>
        <c:lblAlgn val="ctr"/>
        <c:lblOffset val="100"/>
        <c:noMultiLvlLbl val="0"/>
      </c:catAx>
      <c:valAx>
        <c:axId val="14537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7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Total Expenses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Statement'!$B$1:$F$1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'Income Statement'!$B$2:$F$2</c:f>
              <c:numCache>
                <c:formatCode>#,##0_ ;\-#,##0\ </c:formatCode>
                <c:ptCount val="5"/>
                <c:pt idx="0">
                  <c:v>20602</c:v>
                </c:pt>
                <c:pt idx="1">
                  <c:v>27210</c:v>
                </c:pt>
                <c:pt idx="2">
                  <c:v>38270</c:v>
                </c:pt>
                <c:pt idx="3">
                  <c:v>47114</c:v>
                </c:pt>
                <c:pt idx="4">
                  <c:v>54842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4-44B8-AF6B-8451F16F146A}"/>
            </c:ext>
          </c:extLst>
        </c:ser>
        <c:ser>
          <c:idx val="1"/>
          <c:order val="1"/>
          <c:tx>
            <c:v>Total Expenses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Statement'!$B$1:$F$1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'Income Statement'!$B$13:$F$13</c:f>
              <c:numCache>
                <c:formatCode>#,##0_ ;\-#,##0\ </c:formatCode>
                <c:ptCount val="5"/>
                <c:pt idx="0">
                  <c:v>19413</c:v>
                </c:pt>
                <c:pt idx="1">
                  <c:v>24473</c:v>
                </c:pt>
                <c:pt idx="2">
                  <c:v>34104</c:v>
                </c:pt>
                <c:pt idx="3">
                  <c:v>43017</c:v>
                </c:pt>
                <c:pt idx="4">
                  <c:v>50854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84-44B8-AF6B-8451F16F1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770271"/>
        <c:axId val="1453774111"/>
      </c:barChart>
      <c:catAx>
        <c:axId val="145377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74111"/>
        <c:crosses val="autoZero"/>
        <c:auto val="1"/>
        <c:lblAlgn val="ctr"/>
        <c:lblOffset val="100"/>
        <c:noMultiLvlLbl val="0"/>
      </c:catAx>
      <c:valAx>
        <c:axId val="14537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7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Assets vs Liabilities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Assets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 Sheet'!$B$1:$F$1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'Balance Sheet'!$B$5:$F$5</c:f>
              <c:numCache>
                <c:formatCode>#,##0_ ;\-#,##0\ </c:formatCode>
                <c:ptCount val="5"/>
                <c:pt idx="0">
                  <c:v>15860</c:v>
                </c:pt>
                <c:pt idx="1">
                  <c:v>20137</c:v>
                </c:pt>
                <c:pt idx="2">
                  <c:v>25088</c:v>
                </c:pt>
                <c:pt idx="3">
                  <c:v>32862</c:v>
                </c:pt>
                <c:pt idx="4">
                  <c:v>41075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4-4DAE-B631-C89F33039E4E}"/>
            </c:ext>
          </c:extLst>
        </c:ser>
        <c:ser>
          <c:idx val="1"/>
          <c:order val="1"/>
          <c:tx>
            <c:v>Total Liabilities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'Balance Sheet'!$B$1:$F$1</c:f>
              <c:strCache>
                <c:ptCount val="5"/>
                <c:pt idx="0">
                  <c:v>FY 2021</c:v>
                </c:pt>
                <c:pt idx="1">
                  <c:v>FY 2022</c:v>
                </c:pt>
                <c:pt idx="2">
                  <c:v>FY 2023</c:v>
                </c:pt>
                <c:pt idx="3">
                  <c:v>FY 2024</c:v>
                </c:pt>
                <c:pt idx="4">
                  <c:v>FY 2025</c:v>
                </c:pt>
              </c:strCache>
            </c:strRef>
          </c:cat>
          <c:val>
            <c:numRef>
              <c:f>'Balance Sheet'!$B$13:$F$13</c:f>
              <c:numCache>
                <c:formatCode>#,##0_ ;\-#,##0\ </c:formatCode>
                <c:ptCount val="5"/>
                <c:pt idx="0">
                  <c:v>8307</c:v>
                </c:pt>
                <c:pt idx="1">
                  <c:v>10764</c:v>
                </c:pt>
                <c:pt idx="2">
                  <c:v>13094</c:v>
                </c:pt>
                <c:pt idx="3">
                  <c:v>18405</c:v>
                </c:pt>
                <c:pt idx="4">
                  <c:v>24264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4-4DAE-B631-C89F33039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748191"/>
        <c:axId val="1453731871"/>
      </c:barChart>
      <c:catAx>
        <c:axId val="145374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31871"/>
        <c:crosses val="autoZero"/>
        <c:auto val="1"/>
        <c:lblAlgn val="ctr"/>
        <c:lblOffset val="100"/>
        <c:noMultiLvlLbl val="0"/>
      </c:catAx>
      <c:valAx>
        <c:axId val="145373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4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612196</xdr:colOff>
      <xdr:row>22</xdr:row>
      <xdr:rowOff>94317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2637F-E8A1-4B44-8B29-86B2EAB96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9</xdr:col>
      <xdr:colOff>612196</xdr:colOff>
      <xdr:row>47</xdr:row>
      <xdr:rowOff>94317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B52A8-B3AA-4731-A288-F68E6E08B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612195</xdr:colOff>
      <xdr:row>22</xdr:row>
      <xdr:rowOff>94317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6044FF-643D-4EF2-870D-CA70F2535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19</xdr:col>
      <xdr:colOff>612195</xdr:colOff>
      <xdr:row>47</xdr:row>
      <xdr:rowOff>94317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95A615-F55C-42A2-8EDC-323116459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36B9-7DD9-4A69-A7FC-3961C6048FEE}">
  <dimension ref="A1:F17"/>
  <sheetViews>
    <sheetView tabSelected="1" workbookViewId="0">
      <pane ySplit="1" topLeftCell="A2" activePane="bottomLeft" state="frozen"/>
      <selection pane="bottomLeft" activeCell="H15" sqref="H15"/>
    </sheetView>
  </sheetViews>
  <sheetFormatPr defaultRowHeight="14"/>
  <cols>
    <col min="1" max="1" width="25.5" customWidth="1"/>
    <col min="2" max="6" width="15.58203125" style="5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 t="s">
        <v>6</v>
      </c>
      <c r="B2" s="5">
        <v>20602</v>
      </c>
      <c r="C2" s="5">
        <v>27210</v>
      </c>
      <c r="D2" s="5">
        <v>38270</v>
      </c>
      <c r="E2" s="5">
        <v>47114</v>
      </c>
      <c r="F2" s="5">
        <v>54842</v>
      </c>
    </row>
    <row r="3" spans="1:6">
      <c r="A3" s="2" t="s">
        <v>7</v>
      </c>
      <c r="B3" s="5">
        <v>181</v>
      </c>
      <c r="C3" s="5">
        <v>246</v>
      </c>
      <c r="D3" s="5">
        <v>299</v>
      </c>
      <c r="E3" s="5">
        <v>510</v>
      </c>
      <c r="F3" s="5">
        <v>493</v>
      </c>
    </row>
    <row r="4" spans="1:6">
      <c r="A4" s="3" t="s">
        <v>8</v>
      </c>
      <c r="B4" s="5">
        <v>20783</v>
      </c>
      <c r="C4" s="5">
        <v>27456</v>
      </c>
      <c r="D4" s="5">
        <v>38569</v>
      </c>
      <c r="E4" s="5">
        <v>47624</v>
      </c>
      <c r="F4" s="5">
        <v>55335</v>
      </c>
    </row>
    <row r="5" spans="1:6">
      <c r="A5" s="2"/>
    </row>
    <row r="6" spans="1:6">
      <c r="A6" s="2" t="s">
        <v>9</v>
      </c>
      <c r="B6" s="5">
        <v>13143</v>
      </c>
      <c r="C6" s="5">
        <v>20939</v>
      </c>
      <c r="D6" s="5">
        <v>25085</v>
      </c>
      <c r="E6" s="5">
        <v>33556</v>
      </c>
      <c r="F6" s="5">
        <v>43905</v>
      </c>
    </row>
    <row r="7" spans="1:6">
      <c r="A7" s="2" t="s">
        <v>10</v>
      </c>
      <c r="B7" s="5">
        <v>2462</v>
      </c>
      <c r="C7" s="5">
        <v>4187</v>
      </c>
      <c r="D7" s="5">
        <v>5438</v>
      </c>
      <c r="E7" s="5">
        <v>5535</v>
      </c>
      <c r="F7" s="5">
        <v>6372</v>
      </c>
    </row>
    <row r="8" spans="1:6">
      <c r="A8" s="2" t="s">
        <v>11</v>
      </c>
      <c r="B8" s="5">
        <v>164</v>
      </c>
      <c r="C8" s="5">
        <v>-4468</v>
      </c>
      <c r="D8" s="5">
        <v>-1477</v>
      </c>
      <c r="E8" s="5">
        <v>-2149</v>
      </c>
      <c r="F8" s="5">
        <v>-6537</v>
      </c>
    </row>
    <row r="9" spans="1:6">
      <c r="A9" s="2" t="s">
        <v>12</v>
      </c>
      <c r="B9" s="5">
        <v>911</v>
      </c>
      <c r="C9" s="5">
        <v>1143</v>
      </c>
      <c r="D9" s="5">
        <v>1362</v>
      </c>
      <c r="E9" s="5">
        <v>1503</v>
      </c>
      <c r="F9" s="5">
        <v>1717</v>
      </c>
    </row>
    <row r="10" spans="1:6">
      <c r="A10" s="2" t="s">
        <v>13</v>
      </c>
      <c r="B10" s="5">
        <v>181</v>
      </c>
      <c r="C10" s="5">
        <v>195</v>
      </c>
      <c r="D10" s="5">
        <v>240</v>
      </c>
      <c r="E10" s="5">
        <v>480</v>
      </c>
      <c r="F10" s="5">
        <v>767</v>
      </c>
    </row>
    <row r="11" spans="1:6">
      <c r="A11" s="2" t="s">
        <v>14</v>
      </c>
      <c r="B11" s="5">
        <v>331</v>
      </c>
      <c r="C11" s="5">
        <v>347</v>
      </c>
      <c r="D11" s="5">
        <v>364</v>
      </c>
      <c r="E11" s="5">
        <v>447</v>
      </c>
      <c r="F11" s="5">
        <v>537</v>
      </c>
    </row>
    <row r="12" spans="1:6">
      <c r="A12" s="2" t="s">
        <v>15</v>
      </c>
      <c r="B12" s="5">
        <v>2221</v>
      </c>
      <c r="C12" s="5">
        <v>2130</v>
      </c>
      <c r="D12" s="5">
        <v>3092</v>
      </c>
      <c r="E12" s="5">
        <v>3645</v>
      </c>
      <c r="F12" s="5">
        <v>4093</v>
      </c>
    </row>
    <row r="13" spans="1:6">
      <c r="A13" s="3" t="s">
        <v>16</v>
      </c>
      <c r="B13" s="5">
        <f>SUM(B6:B12)</f>
        <v>19413</v>
      </c>
      <c r="C13" s="5">
        <f>SUM(C6:C12)</f>
        <v>24473</v>
      </c>
      <c r="D13" s="5">
        <f>SUM(D6:D12)</f>
        <v>34104</v>
      </c>
      <c r="E13" s="5">
        <f>SUM(E6:E12)</f>
        <v>43017</v>
      </c>
      <c r="F13" s="5">
        <f>SUM(F6:F12)</f>
        <v>50854</v>
      </c>
    </row>
    <row r="14" spans="1:6">
      <c r="A14" s="2"/>
    </row>
    <row r="15" spans="1:6">
      <c r="A15" s="3" t="s">
        <v>17</v>
      </c>
      <c r="B15" s="5">
        <v>1233</v>
      </c>
      <c r="C15" s="5">
        <v>2932</v>
      </c>
      <c r="D15" s="5">
        <v>4465</v>
      </c>
      <c r="E15" s="5">
        <v>4607</v>
      </c>
      <c r="F15" s="5">
        <v>4481</v>
      </c>
    </row>
    <row r="16" spans="1:6">
      <c r="A16" s="2" t="s">
        <v>18</v>
      </c>
      <c r="B16" s="5">
        <v>356</v>
      </c>
      <c r="C16" s="5">
        <v>752</v>
      </c>
      <c r="D16" s="5">
        <v>1132</v>
      </c>
      <c r="E16" s="5">
        <v>1063</v>
      </c>
      <c r="F16" s="5">
        <v>1146</v>
      </c>
    </row>
    <row r="17" spans="1:6">
      <c r="A17" s="3" t="s">
        <v>19</v>
      </c>
      <c r="B17" s="5">
        <f>B15-B16</f>
        <v>877</v>
      </c>
      <c r="C17" s="5">
        <f>C15-C16</f>
        <v>2180</v>
      </c>
      <c r="D17" s="5">
        <f>D15-D16</f>
        <v>3333</v>
      </c>
      <c r="E17" s="5">
        <f>E15-E16</f>
        <v>3544</v>
      </c>
      <c r="F17" s="5">
        <f>F15-F16</f>
        <v>3335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94E9-CD5F-4AAF-90C4-679158594E04}">
  <dimension ref="A1:F14"/>
  <sheetViews>
    <sheetView zoomScale="92" zoomScaleNormal="85" workbookViewId="0">
      <selection activeCell="B13" activeCellId="2" sqref="B1:F1 B5:F5 B13:F13"/>
    </sheetView>
  </sheetViews>
  <sheetFormatPr defaultRowHeight="14"/>
  <cols>
    <col min="1" max="1" width="20" customWidth="1"/>
    <col min="2" max="6" width="15.58203125" style="5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7" t="s">
        <v>20</v>
      </c>
    </row>
    <row r="3" spans="1:6">
      <c r="A3" t="s">
        <v>21</v>
      </c>
      <c r="B3" s="5">
        <v>3359</v>
      </c>
      <c r="C3" s="5">
        <v>3758</v>
      </c>
      <c r="D3" s="5">
        <v>4402</v>
      </c>
      <c r="E3" s="5">
        <v>10169</v>
      </c>
      <c r="F3" s="5">
        <v>10631</v>
      </c>
    </row>
    <row r="4" spans="1:6">
      <c r="A4" t="s">
        <v>22</v>
      </c>
      <c r="B4" s="5">
        <v>12501</v>
      </c>
      <c r="C4" s="5">
        <v>16379</v>
      </c>
      <c r="D4" s="5">
        <v>20686</v>
      </c>
      <c r="E4" s="5">
        <v>22693</v>
      </c>
      <c r="F4" s="5">
        <v>30444</v>
      </c>
    </row>
    <row r="5" spans="1:6">
      <c r="A5" s="6" t="s">
        <v>23</v>
      </c>
      <c r="B5" s="5">
        <f>SUM(B3:B4)</f>
        <v>15860</v>
      </c>
      <c r="C5" s="5">
        <f>SUM(C3:C4)</f>
        <v>20137</v>
      </c>
      <c r="D5" s="5">
        <f>SUM(D3:D4)</f>
        <v>25088</v>
      </c>
      <c r="E5" s="5">
        <f>SUM(E3:E4)</f>
        <v>32862</v>
      </c>
      <c r="F5" s="5">
        <f>SUM(F3:F4)</f>
        <v>41075</v>
      </c>
    </row>
    <row r="7" spans="1:6">
      <c r="A7" s="1" t="s">
        <v>24</v>
      </c>
    </row>
    <row r="8" spans="1:6">
      <c r="A8" t="s">
        <v>25</v>
      </c>
      <c r="B8" s="5">
        <v>89</v>
      </c>
      <c r="C8" s="5">
        <v>89</v>
      </c>
      <c r="D8" s="5">
        <v>89</v>
      </c>
      <c r="E8" s="5">
        <v>89</v>
      </c>
      <c r="F8" s="5">
        <v>89</v>
      </c>
    </row>
    <row r="9" spans="1:6">
      <c r="A9" t="s">
        <v>26</v>
      </c>
      <c r="B9" s="5">
        <v>7464</v>
      </c>
      <c r="C9" s="5">
        <v>9284</v>
      </c>
      <c r="D9" s="5">
        <v>11905</v>
      </c>
      <c r="E9" s="5">
        <v>14368</v>
      </c>
      <c r="F9" s="5">
        <v>16722</v>
      </c>
    </row>
    <row r="10" spans="1:6">
      <c r="A10" s="6" t="s">
        <v>27</v>
      </c>
      <c r="B10" s="5">
        <f>SUM(B8:B9)</f>
        <v>7553</v>
      </c>
      <c r="C10" s="5">
        <f>SUM(C8:C9)</f>
        <v>9373</v>
      </c>
      <c r="D10" s="5">
        <f>SUM(D8:D9)</f>
        <v>11994</v>
      </c>
      <c r="E10" s="5">
        <f>SUM(E8:E9)</f>
        <v>14457</v>
      </c>
      <c r="F10" s="5">
        <f>SUM(F8:F9)</f>
        <v>16811</v>
      </c>
    </row>
    <row r="11" spans="1:6">
      <c r="A11" t="s">
        <v>28</v>
      </c>
      <c r="B11" s="5">
        <v>1114</v>
      </c>
      <c r="C11" s="5">
        <v>1205</v>
      </c>
      <c r="D11" s="5">
        <v>1573</v>
      </c>
      <c r="E11" s="5">
        <v>5043</v>
      </c>
      <c r="F11" s="5">
        <v>2619</v>
      </c>
    </row>
    <row r="12" spans="1:6">
      <c r="A12" t="s">
        <v>29</v>
      </c>
      <c r="B12" s="5">
        <v>7193</v>
      </c>
      <c r="C12" s="5">
        <v>9559</v>
      </c>
      <c r="D12" s="5">
        <v>11521</v>
      </c>
      <c r="E12" s="5">
        <v>13362</v>
      </c>
      <c r="F12" s="5">
        <v>21645</v>
      </c>
    </row>
    <row r="13" spans="1:6">
      <c r="A13" s="6" t="s">
        <v>30</v>
      </c>
      <c r="B13" s="5">
        <f>SUM(B11:B12)</f>
        <v>8307</v>
      </c>
      <c r="C13" s="5">
        <f>SUM(C11:C12)</f>
        <v>10764</v>
      </c>
      <c r="D13" s="5">
        <f>SUM(D11:D12)</f>
        <v>13094</v>
      </c>
      <c r="E13" s="5">
        <f>SUM(E11:E12)</f>
        <v>18405</v>
      </c>
      <c r="F13" s="5">
        <f>SUM(F11:F12)</f>
        <v>24264</v>
      </c>
    </row>
    <row r="14" spans="1:6">
      <c r="A14" s="6" t="s">
        <v>31</v>
      </c>
      <c r="B14" s="5">
        <f>B10+B13</f>
        <v>15860</v>
      </c>
      <c r="C14" s="5">
        <f>C10+C13</f>
        <v>20137</v>
      </c>
      <c r="D14" s="5">
        <f>D10+D13</f>
        <v>25088</v>
      </c>
      <c r="E14" s="5">
        <f>E10+E13</f>
        <v>32862</v>
      </c>
      <c r="F14" s="5">
        <f>F10+F13</f>
        <v>41075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AE09-225E-4768-9F11-1F8A86A1B636}">
  <dimension ref="A1:F7"/>
  <sheetViews>
    <sheetView workbookViewId="0">
      <selection activeCell="D12" sqref="D12"/>
    </sheetView>
  </sheetViews>
  <sheetFormatPr defaultRowHeight="14"/>
  <cols>
    <col min="1" max="1" width="29.75" customWidth="1"/>
    <col min="2" max="6" width="15.58203125" style="9" customWidth="1"/>
  </cols>
  <sheetData>
    <row r="1" spans="1:6">
      <c r="A1" s="3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t="s">
        <v>32</v>
      </c>
      <c r="B2" s="9">
        <v>4101</v>
      </c>
      <c r="C2" s="9">
        <v>-1126</v>
      </c>
      <c r="D2" s="9">
        <v>1810</v>
      </c>
      <c r="E2" s="9">
        <v>2030</v>
      </c>
      <c r="F2" s="9">
        <v>-170</v>
      </c>
    </row>
    <row r="3" spans="1:6">
      <c r="A3" t="s">
        <v>33</v>
      </c>
      <c r="B3" s="9">
        <v>-2744</v>
      </c>
      <c r="C3" s="9">
        <v>1564</v>
      </c>
      <c r="D3" s="9">
        <v>-1653</v>
      </c>
      <c r="E3" s="9">
        <v>-4634</v>
      </c>
      <c r="F3" s="9">
        <v>140</v>
      </c>
    </row>
    <row r="4" spans="1:6">
      <c r="A4" t="s">
        <v>34</v>
      </c>
      <c r="B4" s="9">
        <v>-1260</v>
      </c>
      <c r="C4" s="9">
        <v>-468</v>
      </c>
      <c r="D4" s="9">
        <v>-155</v>
      </c>
      <c r="E4" s="9">
        <v>2757</v>
      </c>
      <c r="F4" s="9">
        <v>1</v>
      </c>
    </row>
    <row r="5" spans="1:6">
      <c r="A5" s="6" t="s">
        <v>35</v>
      </c>
      <c r="B5" s="9">
        <v>97</v>
      </c>
      <c r="C5" s="9">
        <v>-30</v>
      </c>
      <c r="D5" s="9">
        <v>2</v>
      </c>
      <c r="E5" s="9">
        <v>153</v>
      </c>
      <c r="F5" s="9">
        <v>-29</v>
      </c>
    </row>
    <row r="6" spans="1:6">
      <c r="A6" t="s">
        <v>36</v>
      </c>
      <c r="B6" s="9">
        <v>50</v>
      </c>
      <c r="C6" s="9">
        <v>147</v>
      </c>
      <c r="D6" s="9">
        <v>117</v>
      </c>
      <c r="E6" s="9">
        <v>119</v>
      </c>
      <c r="F6" s="9">
        <v>272</v>
      </c>
    </row>
    <row r="7" spans="1:6">
      <c r="A7" s="6" t="s">
        <v>37</v>
      </c>
      <c r="B7" s="9">
        <v>147</v>
      </c>
      <c r="C7" s="9">
        <v>117</v>
      </c>
      <c r="D7" s="9">
        <v>119</v>
      </c>
      <c r="E7" s="9">
        <v>272</v>
      </c>
      <c r="F7" s="9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CBDB-1639-4035-8AEF-CDE3A132FA63}">
  <dimension ref="A1:F7"/>
  <sheetViews>
    <sheetView workbookViewId="0">
      <selection activeCell="B8" sqref="B8"/>
    </sheetView>
  </sheetViews>
  <sheetFormatPr defaultRowHeight="14"/>
  <cols>
    <col min="1" max="1" width="16.08203125" bestFit="1" customWidth="1"/>
    <col min="2" max="6" width="15.58203125" customWidth="1"/>
  </cols>
  <sheetData>
    <row r="1" spans="1:6">
      <c r="A1" s="10" t="s">
        <v>38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>
      <c r="A2" t="s">
        <v>39</v>
      </c>
      <c r="C2" s="12">
        <f>('Income Statement'!C2-'Income Statement'!B2)/'Income Statement'!B2</f>
        <v>0.32074555868362292</v>
      </c>
      <c r="D2" s="12">
        <f>('Income Statement'!D2-'Income Statement'!C2)/'Income Statement'!C2</f>
        <v>0.40646821021683205</v>
      </c>
      <c r="E2" s="12">
        <f>('Income Statement'!E2-'Income Statement'!D2)/'Income Statement'!D2</f>
        <v>0.23109485236477659</v>
      </c>
      <c r="F2" s="12">
        <f>('Income Statement'!F2-'Income Statement'!E2)/'Income Statement'!E2</f>
        <v>0.16402767754807487</v>
      </c>
    </row>
    <row r="3" spans="1:6">
      <c r="A3" t="s">
        <v>40</v>
      </c>
      <c r="C3" s="12">
        <f>'Income Statement'!B17/'Income Statement'!B2</f>
        <v>4.256868265216969E-2</v>
      </c>
      <c r="D3" s="12">
        <f>'Income Statement'!C17/'Income Statement'!C2</f>
        <v>8.0117603822124225E-2</v>
      </c>
      <c r="E3" s="12">
        <f>'Income Statement'!D17/'Income Statement'!D2</f>
        <v>8.7091716749412074E-2</v>
      </c>
      <c r="F3" s="12">
        <f>'Income Statement'!E17/'Income Statement'!E2</f>
        <v>7.5221802436643032E-2</v>
      </c>
    </row>
    <row r="4" spans="1:6">
      <c r="A4" t="s">
        <v>41</v>
      </c>
      <c r="C4" s="12">
        <f>'Income Statement'!B17/'Balance Sheet'!B10</f>
        <v>0.11611280285979081</v>
      </c>
      <c r="D4" s="12">
        <f>'Income Statement'!C17/'Balance Sheet'!C10</f>
        <v>0.23258295102955298</v>
      </c>
      <c r="E4" s="12">
        <f>'Income Statement'!D17/'Balance Sheet'!D10</f>
        <v>0.27788894447223611</v>
      </c>
      <c r="F4" s="12">
        <f>'Income Statement'!E17/'Balance Sheet'!E10</f>
        <v>0.24514076226049664</v>
      </c>
    </row>
    <row r="5" spans="1:6">
      <c r="A5" t="s">
        <v>42</v>
      </c>
      <c r="C5" s="12">
        <f>'Income Statement'!B17/'Balance Sheet'!B5</f>
        <v>5.5296343001261031E-2</v>
      </c>
      <c r="D5" s="12">
        <f>'Income Statement'!C17/'Balance Sheet'!C5</f>
        <v>0.10825842975617024</v>
      </c>
      <c r="E5" s="12">
        <f>'Income Statement'!D17/'Balance Sheet'!D5</f>
        <v>0.13285235969387754</v>
      </c>
      <c r="F5" s="12">
        <f>'Income Statement'!E17/'Balance Sheet'!E5</f>
        <v>0.10784492727162072</v>
      </c>
    </row>
    <row r="6" spans="1:6">
      <c r="A6" t="s">
        <v>43</v>
      </c>
      <c r="C6" s="13">
        <f>'Balance Sheet'!B4/'Balance Sheet'!B12</f>
        <v>1.7379396635617963</v>
      </c>
      <c r="D6" s="13">
        <f>'Balance Sheet'!C4/'Balance Sheet'!C12</f>
        <v>1.713463751438435</v>
      </c>
      <c r="E6" s="13">
        <f>'Balance Sheet'!D4/'Balance Sheet'!D12</f>
        <v>1.7955038625119348</v>
      </c>
      <c r="F6" s="13">
        <f>'Balance Sheet'!E4/'Balance Sheet'!E12</f>
        <v>1.6983236042508607</v>
      </c>
    </row>
    <row r="7" spans="1:6">
      <c r="A7" t="s">
        <v>44</v>
      </c>
      <c r="C7" s="13">
        <f>('Balance Sheet'!B11+'Balance Sheet'!B12)/'Balance Sheet'!B10</f>
        <v>1.0998278829604131</v>
      </c>
      <c r="D7" s="13">
        <f>('Balance Sheet'!C11+'Balance Sheet'!C12)/'Balance Sheet'!C10</f>
        <v>1.1484049930651872</v>
      </c>
      <c r="E7" s="13">
        <f>('Balance Sheet'!D11+'Balance Sheet'!D12)/'Balance Sheet'!D10</f>
        <v>1.0917125229281308</v>
      </c>
      <c r="F7" s="13">
        <f>('Balance Sheet'!E11+'Balance Sheet'!E12)/'Balance Sheet'!E10</f>
        <v>1.2730857024278897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5231-EB12-4987-9EE0-171BB48638C3}">
  <dimension ref="A1"/>
  <sheetViews>
    <sheetView zoomScale="41" workbookViewId="0">
      <selection activeCell="AB40" sqref="AB40"/>
    </sheetView>
  </sheetViews>
  <sheetFormatPr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3056-4984-4B7D-A4EF-6C8CF738A848}">
  <dimension ref="A1:E9"/>
  <sheetViews>
    <sheetView zoomScale="72" workbookViewId="0">
      <selection activeCell="G5" sqref="G5"/>
    </sheetView>
  </sheetViews>
  <sheetFormatPr defaultRowHeight="14"/>
  <cols>
    <col min="1" max="1" width="15.75" bestFit="1" customWidth="1"/>
    <col min="2" max="2" width="100.58203125" style="14" customWidth="1"/>
  </cols>
  <sheetData>
    <row r="1" spans="1:5" ht="21">
      <c r="A1" s="20" t="s">
        <v>58</v>
      </c>
      <c r="B1" s="21"/>
    </row>
    <row r="2" spans="1:5" ht="40" customHeight="1">
      <c r="A2" s="15" t="s">
        <v>45</v>
      </c>
      <c r="B2" s="16" t="s">
        <v>59</v>
      </c>
    </row>
    <row r="3" spans="1:5" ht="40" customHeight="1">
      <c r="A3" s="15" t="s">
        <v>46</v>
      </c>
      <c r="B3" s="18" t="s">
        <v>60</v>
      </c>
    </row>
    <row r="4" spans="1:5" ht="40" customHeight="1">
      <c r="A4" s="15" t="s">
        <v>47</v>
      </c>
      <c r="B4" s="16" t="s">
        <v>53</v>
      </c>
    </row>
    <row r="5" spans="1:5" ht="40" customHeight="1">
      <c r="A5" s="15" t="s">
        <v>48</v>
      </c>
      <c r="B5" s="18" t="s">
        <v>61</v>
      </c>
    </row>
    <row r="6" spans="1:5" ht="40" customHeight="1">
      <c r="A6" s="15" t="s">
        <v>49</v>
      </c>
      <c r="B6" s="16" t="s">
        <v>54</v>
      </c>
      <c r="E6" t="s">
        <v>62</v>
      </c>
    </row>
    <row r="7" spans="1:5" ht="40" customHeight="1">
      <c r="A7" s="15" t="s">
        <v>50</v>
      </c>
      <c r="B7" s="18" t="s">
        <v>55</v>
      </c>
    </row>
    <row r="8" spans="1:5" ht="40" customHeight="1">
      <c r="A8" s="15" t="s">
        <v>51</v>
      </c>
      <c r="B8" s="16" t="s">
        <v>56</v>
      </c>
    </row>
    <row r="9" spans="1:5" ht="40" customHeight="1" thickBot="1">
      <c r="A9" s="17" t="s">
        <v>52</v>
      </c>
      <c r="B9" s="19" t="s">
        <v>57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Cash Flow</vt:lpstr>
      <vt:lpstr>Ratios</vt:lpstr>
      <vt:lpstr>Charts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Goyal</dc:creator>
  <cp:lastModifiedBy>Vipul Goyal</cp:lastModifiedBy>
  <dcterms:created xsi:type="dcterms:W3CDTF">2026-07-26T08:29:05Z</dcterms:created>
  <dcterms:modified xsi:type="dcterms:W3CDTF">2026-07-26T11:02:49Z</dcterms:modified>
</cp:coreProperties>
</file>